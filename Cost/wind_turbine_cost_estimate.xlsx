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Estimate" sheetId="1" r:id="rId4"/>
  </sheets>
  <definedNames/>
  <calcPr/>
  <extLst>
    <ext uri="GoogleSheetsCustomDataVersion2">
      <go:sheetsCustomData xmlns:go="http://customooxmlschemas.google.com/" r:id="rId5" roundtripDataChecksum="WJCr9yyosaA8OG3ApSdLmRfDoGnx6wL0MZyzQ7rBDRY="/>
    </ext>
  </extLst>
</workbook>
</file>

<file path=xl/sharedStrings.xml><?xml version="1.0" encoding="utf-8"?>
<sst xmlns="http://schemas.openxmlformats.org/spreadsheetml/2006/main" count="29" uniqueCount="27">
  <si>
    <t>Wind Turbine Project — Cost Estimate</t>
  </si>
  <si>
    <t>Item</t>
  </si>
  <si>
    <t>Quantity</t>
  </si>
  <si>
    <t>Unit Cost (USD)</t>
  </si>
  <si>
    <t>Total Cost (USD)</t>
  </si>
  <si>
    <t>Notes</t>
  </si>
  <si>
    <t>Aluminum Sheet</t>
  </si>
  <si>
    <t>4 sq ft</t>
  </si>
  <si>
    <t>Qty=4 sq ft; 6061 alloy; avg retail ~$5.50/sq ft</t>
  </si>
  <si>
    <t>Aluminum Rod (1 in dia.)</t>
  </si>
  <si>
    <t>3 ft</t>
  </si>
  <si>
    <t>Qty=3 ft; 6061 alloy round rod; avg ~$6.00/ft</t>
  </si>
  <si>
    <t>1/4 in Nut/Bolt/Washer Sets</t>
  </si>
  <si>
    <t>10</t>
  </si>
  <si>
    <t>Qty=10 sets; stainless; avg hardware store price</t>
  </si>
  <si>
    <t>PVC T-Brackets</t>
  </si>
  <si>
    <t>Qty=10; standard 1/2 in PVC T-fittings</t>
  </si>
  <si>
    <t>Set Screws (1/4-20)</t>
  </si>
  <si>
    <t>Qty=10; cup point; avg hardware store price</t>
  </si>
  <si>
    <t>Assembly Labor</t>
  </si>
  <si>
    <t>1.5 hrs</t>
  </si>
  <si>
    <t>BLS median: Laborers &amp; Material Movers ~$16.00/hr (2024)</t>
  </si>
  <si>
    <t>Engineering/Design Labor</t>
  </si>
  <si>
    <t>BLS median: Mechanical Engineer Interns ~$25.00/hr (2024)</t>
  </si>
  <si>
    <t>Packaging</t>
  </si>
  <si>
    <t>Cardboard box for packaging</t>
  </si>
  <si>
    <t>TOTAL PROJECT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</si>
</sst>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8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b/>
      <sz val="11.0"/>
      <color theme="1"/>
      <name val="Arial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F4F7F"/>
        <bgColor rgb="FF2F4F7F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1" fillId="3" fontId="5" numFmtId="164" xfId="0" applyAlignment="1" applyBorder="1" applyFont="1" applyNumberFormat="1">
      <alignment horizontal="center" vertical="center"/>
    </xf>
    <xf borderId="1" fillId="3" fontId="5" numFmtId="0" xfId="0" applyBorder="1" applyFont="1"/>
    <xf borderId="0" fillId="0" fontId="7" numFmtId="164" xfId="0" applyFont="1" applyNumberForma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2.0"/>
    <col customWidth="1" min="3" max="3" width="16.0"/>
    <col customWidth="1" min="4" max="4" width="18.0"/>
    <col customWidth="1" min="5" max="5" width="52.0"/>
    <col customWidth="1" min="6" max="26" width="8.71"/>
  </cols>
  <sheetData>
    <row r="1" ht="24.0" customHeight="1">
      <c r="A1" s="1" t="s">
        <v>0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8.0" customHeight="1">
      <c r="A3" s="3" t="s">
        <v>6</v>
      </c>
      <c r="B3" s="4" t="s">
        <v>7</v>
      </c>
      <c r="C3" s="5">
        <v>5.5</v>
      </c>
      <c r="D3" s="6">
        <f>4*C3</f>
        <v>22</v>
      </c>
      <c r="E3" s="3" t="s">
        <v>8</v>
      </c>
    </row>
    <row r="4" ht="18.0" customHeight="1">
      <c r="A4" s="3" t="s">
        <v>9</v>
      </c>
      <c r="B4" s="4" t="s">
        <v>10</v>
      </c>
      <c r="C4" s="5">
        <v>6.0</v>
      </c>
      <c r="D4" s="6">
        <f>3*C4</f>
        <v>18</v>
      </c>
      <c r="E4" s="3" t="s">
        <v>11</v>
      </c>
    </row>
    <row r="5" ht="18.0" customHeight="1">
      <c r="A5" s="3" t="s">
        <v>12</v>
      </c>
      <c r="B5" s="4" t="s">
        <v>13</v>
      </c>
      <c r="C5" s="5">
        <v>0.85</v>
      </c>
      <c r="D5" s="6">
        <f t="shared" ref="D5:D7" si="1">10*C5</f>
        <v>8.5</v>
      </c>
      <c r="E5" s="3" t="s">
        <v>14</v>
      </c>
    </row>
    <row r="6" ht="18.0" customHeight="1">
      <c r="A6" s="3" t="s">
        <v>15</v>
      </c>
      <c r="B6" s="4" t="s">
        <v>13</v>
      </c>
      <c r="C6" s="5">
        <v>1.0</v>
      </c>
      <c r="D6" s="6">
        <f t="shared" si="1"/>
        <v>10</v>
      </c>
      <c r="E6" s="3" t="s">
        <v>16</v>
      </c>
    </row>
    <row r="7" ht="18.0" customHeight="1">
      <c r="A7" s="3" t="s">
        <v>17</v>
      </c>
      <c r="B7" s="4" t="s">
        <v>13</v>
      </c>
      <c r="C7" s="5">
        <v>0.6</v>
      </c>
      <c r="D7" s="6">
        <f t="shared" si="1"/>
        <v>6</v>
      </c>
      <c r="E7" s="3" t="s">
        <v>18</v>
      </c>
    </row>
    <row r="8" ht="18.0" customHeight="1">
      <c r="A8" s="3" t="s">
        <v>19</v>
      </c>
      <c r="B8" s="4" t="s">
        <v>20</v>
      </c>
      <c r="C8" s="5">
        <v>16.0</v>
      </c>
      <c r="D8" s="6">
        <f>1.5*C8</f>
        <v>24</v>
      </c>
      <c r="E8" s="3" t="s">
        <v>21</v>
      </c>
    </row>
    <row r="9" ht="18.0" customHeight="1">
      <c r="A9" s="3" t="s">
        <v>22</v>
      </c>
      <c r="B9" s="7">
        <v>1.5</v>
      </c>
      <c r="C9" s="5">
        <v>25.0</v>
      </c>
      <c r="D9" s="6">
        <f t="shared" ref="D9:D10" si="2">B9*C9</f>
        <v>37.5</v>
      </c>
      <c r="E9" s="3" t="s">
        <v>23</v>
      </c>
    </row>
    <row r="10" ht="18.0" customHeight="1">
      <c r="A10" s="3" t="s">
        <v>24</v>
      </c>
      <c r="B10" s="4">
        <v>1.0</v>
      </c>
      <c r="C10" s="5">
        <v>2.0</v>
      </c>
      <c r="D10" s="6">
        <f t="shared" si="2"/>
        <v>2</v>
      </c>
      <c r="E10" s="3" t="s">
        <v>25</v>
      </c>
    </row>
    <row r="11" ht="19.5" customHeight="1">
      <c r="A11" s="8" t="s">
        <v>26</v>
      </c>
      <c r="B11" s="9"/>
      <c r="C11" s="10"/>
      <c r="D11" s="11">
        <f>SUM(D3:D9)</f>
        <v>126</v>
      </c>
      <c r="E11" s="12"/>
    </row>
    <row r="12" ht="14.25" customHeight="1"/>
    <row r="13" ht="14.25" customHeight="1"/>
    <row r="14" ht="14.25" customHeight="1"/>
    <row r="15" ht="14.25" customHeight="1">
      <c r="A15" s="13">
        <f>SUM(D8:D9)</f>
        <v>61.5</v>
      </c>
      <c r="C15" s="14">
        <f>SUM(D11*1.5)</f>
        <v>189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E1"/>
    <mergeCell ref="A11:C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2026-04-16T15:39:38Z</dcterms:created>
  <dc:creator>openpyxl</dc:creator>
</cp:coreProperties>
</file>